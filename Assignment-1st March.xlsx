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DS\"/>
    </mc:Choice>
  </mc:AlternateContent>
  <xr:revisionPtr revIDLastSave="0" documentId="13_ncr:1_{36CC64A5-2A0A-499A-9995-B8DE5AEAF441}" xr6:coauthVersionLast="47" xr6:coauthVersionMax="47" xr10:uidLastSave="{00000000-0000-0000-0000-000000000000}"/>
  <bookViews>
    <workbookView xWindow="-110" yWindow="-110" windowWidth="19420" windowHeight="10300" activeTab="4" xr2:uid="{4185A8E5-BE6C-40D6-8625-0A68DF6CCE9D}"/>
  </bookViews>
  <sheets>
    <sheet name="Correlation" sheetId="1" r:id="rId1"/>
    <sheet name="Regression" sheetId="2" r:id="rId2"/>
    <sheet name="CoVariance" sheetId="3" r:id="rId3"/>
    <sheet name="Moving Average" sheetId="4" r:id="rId4"/>
    <sheet name="Descriptive Statistic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4" l="1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J7" i="3" l="1"/>
  <c r="I6" i="3"/>
</calcChain>
</file>

<file path=xl/sharedStrings.xml><?xml version="1.0" encoding="utf-8"?>
<sst xmlns="http://schemas.openxmlformats.org/spreadsheetml/2006/main" count="176" uniqueCount="131">
  <si>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</si>
  <si>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</si>
  <si>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</si>
  <si>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</si>
  <si>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</si>
  <si>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</si>
  <si>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</si>
  <si>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</si>
  <si>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</si>
  <si>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</si>
  <si>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</si>
  <si>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</si>
  <si>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</si>
  <si>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Advertising Spend ($)</t>
  </si>
  <si>
    <t>Sales Revenue ($)</t>
  </si>
  <si>
    <t>Temperature (°F)</t>
  </si>
  <si>
    <t>Number of Competitors</t>
  </si>
  <si>
    <t>Which variable has the strongest correlation with sales?</t>
  </si>
  <si>
    <t>What does a negative correlation indicate in business context?</t>
  </si>
  <si>
    <t>When one variable increases other variable decreases like high temperature low sales</t>
  </si>
  <si>
    <t xml:space="preserve">Which correlation would be most useful for business planning? </t>
  </si>
  <si>
    <t>Both positive and negative based on scenario</t>
  </si>
  <si>
    <t>Distance (miles)</t>
  </si>
  <si>
    <t>Delivery Time (minutes)</t>
  </si>
  <si>
    <t>Number of Items Ordered</t>
  </si>
  <si>
    <t>Customer Satisfaction (1-10)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</si>
  <si>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</si>
  <si>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</si>
  <si>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</si>
  <si>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</si>
  <si>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</si>
  <si>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</si>
  <si>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</si>
  <si>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</si>
  <si>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</si>
  <si>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</si>
  <si>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</si>
  <si>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</si>
  <si>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</si>
  <si>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</si>
  <si>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</si>
  <si>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</si>
  <si>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</si>
  <si>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</si>
  <si>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</si>
  <si>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</si>
  <si>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</si>
  <si>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</si>
  <si>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</si>
  <si>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</si>
  <si>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</si>
  <si>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</si>
  <si>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Customer Satisfaction (1-10)</t>
  </si>
  <si>
    <t>Residuals</t>
  </si>
  <si>
    <t xml:space="preserve"> Interpret the goodness of fit </t>
  </si>
  <si>
    <t>R- Square value 0.9380 represents strong fit</t>
  </si>
  <si>
    <t xml:space="preserve">What does the slope coefficient tell you about delivery efficiency?  </t>
  </si>
  <si>
    <t xml:space="preserve">How much of the variation in delivery time is explained by  
distance? </t>
  </si>
  <si>
    <t>Answers</t>
  </si>
  <si>
    <t>More scope represents reduce in efficiency and viceversa</t>
  </si>
  <si>
    <t>R- Square value around 0.9 represents distance explains good variation of delivery time</t>
  </si>
  <si>
    <t>Stock A Returns (%)</t>
  </si>
  <si>
    <t>Stock B Returns (%)</t>
  </si>
  <si>
    <t>Market Index Returns (%)</t>
  </si>
  <si>
    <t>Compare the results and interpret the relationships</t>
  </si>
  <si>
    <t>Stock A has more dependent on Market index where stock B is less dependent compared to stock A, Stock B is less sensitive and might be stable</t>
  </si>
  <si>
    <t>Answer</t>
  </si>
  <si>
    <t>Day</t>
  </si>
  <si>
    <t>Page Views</t>
  </si>
  <si>
    <t>3-day window</t>
  </si>
  <si>
    <t>5-day window</t>
  </si>
  <si>
    <t>7-day window</t>
  </si>
  <si>
    <t>Which moving average best smooths out daily fluctuations?</t>
  </si>
  <si>
    <t xml:space="preserve">7-day </t>
  </si>
  <si>
    <t>What trends can you identify from the moving averages?</t>
  </si>
  <si>
    <t>When would you use a shorter vs. longer moving average period?</t>
  </si>
  <si>
    <t>Fluctuations for shorter and longer windows</t>
  </si>
  <si>
    <t>Short term to analyze sudden changes and long term to smooth the fluctuations</t>
  </si>
  <si>
    <t>Employee</t>
  </si>
  <si>
    <t>ID</t>
  </si>
  <si>
    <t>Performance Score</t>
  </si>
  <si>
    <t>Years of Experience</t>
  </si>
  <si>
    <t>Training Hours</t>
  </si>
  <si>
    <t>Department</t>
  </si>
  <si>
    <t>EMP001</t>
  </si>
  <si>
    <t>Sales</t>
  </si>
  <si>
    <t>EMP002</t>
  </si>
  <si>
    <t>Marketing</t>
  </si>
  <si>
    <t>EMP003</t>
  </si>
  <si>
    <t>IT</t>
  </si>
  <si>
    <t>EMP004</t>
  </si>
  <si>
    <t>HR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</si>
  <si>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</si>
  <si>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</si>
  <si>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</si>
  <si>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</si>
  <si>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</si>
  <si>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</si>
  <si>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</si>
  <si>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</si>
  <si>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</si>
  <si>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</si>
  <si>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</si>
  <si>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</si>
  <si>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</si>
  <si>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</si>
  <si>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</si>
  <si>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</si>
  <si>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</si>
  <si>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</si>
  <si>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</si>
  <si>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</si>
  <si>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</si>
  <si>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</si>
  <si>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</si>
  <si>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</si>
  <si>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</si>
  <si>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</si>
  <si>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</si>
  <si>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</si>
  <si>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</si>
  <si>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</si>
  <si>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</si>
  <si>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</si>
  <si>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</si>
  <si>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 Descriptive statitics for Performance Score</t>
  </si>
  <si>
    <t>What does the standard deviation tell you about performance consistency?</t>
  </si>
  <si>
    <t xml:space="preserve">Variation of performance close to average , SD= 9.05133507647719 indicates less deviation </t>
  </si>
  <si>
    <t xml:space="preserve">Are the scores normally distributed?  </t>
  </si>
  <si>
    <t>The skewness near zero or less value indicates it is normally distributed</t>
  </si>
  <si>
    <t>Which department shows the most consistent performance?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</si>
</sst>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Continuous"/>
    </xf>
    <xf numFmtId="0" fontId="0" fillId="0" borderId="3" xfId="0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1" fillId="0" borderId="0" xfId="0" applyFont="1"/>
    <xf numFmtId="0" fontId="1" fillId="0" borderId="3" xfId="0" applyFont="1" applyBorder="1" applyAlignment="1">
      <alignment wrapText="1"/>
    </xf>
    <xf numFmtId="0" fontId="3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0" fillId="0" borderId="3" xfId="0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181102362205"/>
          <c:y val="0.17634259259259263"/>
          <c:w val="0.87753018372703417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'Moving Average'!$B$1</c:f>
              <c:strCache>
                <c:ptCount val="1"/>
                <c:pt idx="0">
                  <c:v>Page Views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Average'!$B$2:$B$31</c:f>
              <c:numCache>
                <c:formatCode>General</c:formatCode>
                <c:ptCount val="30"/>
                <c:pt idx="0">
                  <c:v>1250</c:v>
                </c:pt>
                <c:pt idx="1">
                  <c:v>1180</c:v>
                </c:pt>
                <c:pt idx="2">
                  <c:v>1340</c:v>
                </c:pt>
                <c:pt idx="3">
                  <c:v>1420</c:v>
                </c:pt>
                <c:pt idx="4">
                  <c:v>1600</c:v>
                </c:pt>
                <c:pt idx="5">
                  <c:v>1550</c:v>
                </c:pt>
                <c:pt idx="6">
                  <c:v>1200</c:v>
                </c:pt>
                <c:pt idx="7">
                  <c:v>1310</c:v>
                </c:pt>
                <c:pt idx="8">
                  <c:v>1450</c:v>
                </c:pt>
                <c:pt idx="9">
                  <c:v>1700</c:v>
                </c:pt>
                <c:pt idx="10">
                  <c:v>1680</c:v>
                </c:pt>
                <c:pt idx="11">
                  <c:v>1300</c:v>
                </c:pt>
                <c:pt idx="12">
                  <c:v>1250</c:v>
                </c:pt>
                <c:pt idx="13">
                  <c:v>1400</c:v>
                </c:pt>
                <c:pt idx="14">
                  <c:v>1550</c:v>
                </c:pt>
                <c:pt idx="15">
                  <c:v>1600</c:v>
                </c:pt>
                <c:pt idx="16">
                  <c:v>1750</c:v>
                </c:pt>
                <c:pt idx="17">
                  <c:v>1720</c:v>
                </c:pt>
                <c:pt idx="18">
                  <c:v>1300</c:v>
                </c:pt>
                <c:pt idx="19">
                  <c:v>1280</c:v>
                </c:pt>
                <c:pt idx="20">
                  <c:v>1450</c:v>
                </c:pt>
                <c:pt idx="21">
                  <c:v>1600</c:v>
                </c:pt>
                <c:pt idx="22">
                  <c:v>1700</c:v>
                </c:pt>
                <c:pt idx="23">
                  <c:v>1680</c:v>
                </c:pt>
                <c:pt idx="24">
                  <c:v>1250</c:v>
                </c:pt>
                <c:pt idx="25">
                  <c:v>1300</c:v>
                </c:pt>
                <c:pt idx="26">
                  <c:v>1420</c:v>
                </c:pt>
                <c:pt idx="27">
                  <c:v>1550</c:v>
                </c:pt>
                <c:pt idx="28">
                  <c:v>1720</c:v>
                </c:pt>
                <c:pt idx="29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7-4AC1-90BD-58D6EF073553}"/>
            </c:ext>
          </c:extLst>
        </c:ser>
        <c:ser>
          <c:idx val="1"/>
          <c:order val="1"/>
          <c:tx>
            <c:strRef>
              <c:f>'Moving Average'!$C$1</c:f>
              <c:strCache>
                <c:ptCount val="1"/>
                <c:pt idx="0">
                  <c:v>3-day window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Average'!$C$2:$C$31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1256.6666666666667</c:v>
                </c:pt>
                <c:pt idx="3">
                  <c:v>1313.3333333333333</c:v>
                </c:pt>
                <c:pt idx="4">
                  <c:v>1453.3333333333333</c:v>
                </c:pt>
                <c:pt idx="5">
                  <c:v>1523.3333333333333</c:v>
                </c:pt>
                <c:pt idx="6">
                  <c:v>1450</c:v>
                </c:pt>
                <c:pt idx="7">
                  <c:v>1353.3333333333333</c:v>
                </c:pt>
                <c:pt idx="8">
                  <c:v>1320</c:v>
                </c:pt>
                <c:pt idx="9">
                  <c:v>1486.6666666666667</c:v>
                </c:pt>
                <c:pt idx="10">
                  <c:v>1610</c:v>
                </c:pt>
                <c:pt idx="11">
                  <c:v>1560</c:v>
                </c:pt>
                <c:pt idx="12">
                  <c:v>1410</c:v>
                </c:pt>
                <c:pt idx="13">
                  <c:v>1316.6666666666667</c:v>
                </c:pt>
                <c:pt idx="14">
                  <c:v>1400</c:v>
                </c:pt>
                <c:pt idx="15">
                  <c:v>1516.6666666666667</c:v>
                </c:pt>
                <c:pt idx="16">
                  <c:v>1633.3333333333333</c:v>
                </c:pt>
                <c:pt idx="17">
                  <c:v>1690</c:v>
                </c:pt>
                <c:pt idx="18">
                  <c:v>1590</c:v>
                </c:pt>
                <c:pt idx="19">
                  <c:v>1433.3333333333333</c:v>
                </c:pt>
                <c:pt idx="20">
                  <c:v>1343.3333333333333</c:v>
                </c:pt>
                <c:pt idx="21">
                  <c:v>1443.3333333333333</c:v>
                </c:pt>
                <c:pt idx="22">
                  <c:v>1583.3333333333333</c:v>
                </c:pt>
                <c:pt idx="23">
                  <c:v>1660</c:v>
                </c:pt>
                <c:pt idx="24">
                  <c:v>1543.3333333333333</c:v>
                </c:pt>
                <c:pt idx="25">
                  <c:v>1410</c:v>
                </c:pt>
                <c:pt idx="26">
                  <c:v>1323.3333333333333</c:v>
                </c:pt>
                <c:pt idx="27">
                  <c:v>1423.3333333333333</c:v>
                </c:pt>
                <c:pt idx="28">
                  <c:v>1563.3333333333333</c:v>
                </c:pt>
                <c:pt idx="29">
                  <c:v>1690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7-4AC1-90BD-58D6EF073553}"/>
            </c:ext>
          </c:extLst>
        </c:ser>
        <c:ser>
          <c:idx val="2"/>
          <c:order val="2"/>
          <c:tx>
            <c:strRef>
              <c:f>'Moving Average'!$D$1</c:f>
              <c:strCache>
                <c:ptCount val="1"/>
                <c:pt idx="0">
                  <c:v>5-day window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Average'!$D$2:$D$31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1358</c:v>
                </c:pt>
                <c:pt idx="5">
                  <c:v>1418</c:v>
                </c:pt>
                <c:pt idx="6">
                  <c:v>1422</c:v>
                </c:pt>
                <c:pt idx="7">
                  <c:v>1416</c:v>
                </c:pt>
                <c:pt idx="8">
                  <c:v>1422</c:v>
                </c:pt>
                <c:pt idx="9">
                  <c:v>1442</c:v>
                </c:pt>
                <c:pt idx="10">
                  <c:v>1468</c:v>
                </c:pt>
                <c:pt idx="11">
                  <c:v>1488</c:v>
                </c:pt>
                <c:pt idx="12">
                  <c:v>1476</c:v>
                </c:pt>
                <c:pt idx="13">
                  <c:v>1466</c:v>
                </c:pt>
                <c:pt idx="14">
                  <c:v>1436</c:v>
                </c:pt>
                <c:pt idx="15">
                  <c:v>1420</c:v>
                </c:pt>
                <c:pt idx="16">
                  <c:v>1510</c:v>
                </c:pt>
                <c:pt idx="17">
                  <c:v>1604</c:v>
                </c:pt>
                <c:pt idx="18">
                  <c:v>1584</c:v>
                </c:pt>
                <c:pt idx="19">
                  <c:v>1530</c:v>
                </c:pt>
                <c:pt idx="20">
                  <c:v>1500</c:v>
                </c:pt>
                <c:pt idx="21">
                  <c:v>1470</c:v>
                </c:pt>
                <c:pt idx="22">
                  <c:v>1466</c:v>
                </c:pt>
                <c:pt idx="23">
                  <c:v>1542</c:v>
                </c:pt>
                <c:pt idx="24">
                  <c:v>1536</c:v>
                </c:pt>
                <c:pt idx="25">
                  <c:v>1506</c:v>
                </c:pt>
                <c:pt idx="26">
                  <c:v>1470</c:v>
                </c:pt>
                <c:pt idx="27">
                  <c:v>1440</c:v>
                </c:pt>
                <c:pt idx="28">
                  <c:v>1448</c:v>
                </c:pt>
                <c:pt idx="29">
                  <c:v>1558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47-4AC1-90BD-58D6EF073553}"/>
            </c:ext>
          </c:extLst>
        </c:ser>
        <c:ser>
          <c:idx val="3"/>
          <c:order val="3"/>
          <c:tx>
            <c:strRef>
              <c:f>'Moving Average'!$E$1</c:f>
              <c:strCache>
                <c:ptCount val="1"/>
                <c:pt idx="0">
                  <c:v>7-day window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Average'!$E$2:$E$31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1362.8571428571429</c:v>
                </c:pt>
                <c:pt idx="7">
                  <c:v>1371.4285714285713</c:v>
                </c:pt>
                <c:pt idx="8">
                  <c:v>1410</c:v>
                </c:pt>
                <c:pt idx="9">
                  <c:v>1461.4285714285713</c:v>
                </c:pt>
                <c:pt idx="10">
                  <c:v>1498.5714285714287</c:v>
                </c:pt>
                <c:pt idx="11">
                  <c:v>1455.7142857142858</c:v>
                </c:pt>
                <c:pt idx="12">
                  <c:v>1412.8571428571429</c:v>
                </c:pt>
                <c:pt idx="13">
                  <c:v>1441.4285714285713</c:v>
                </c:pt>
                <c:pt idx="14">
                  <c:v>1475.7142857142858</c:v>
                </c:pt>
                <c:pt idx="15">
                  <c:v>1497.1428571428571</c:v>
                </c:pt>
                <c:pt idx="16">
                  <c:v>1504.2857142857142</c:v>
                </c:pt>
                <c:pt idx="17">
                  <c:v>1510</c:v>
                </c:pt>
                <c:pt idx="18">
                  <c:v>1510</c:v>
                </c:pt>
                <c:pt idx="19">
                  <c:v>1514.2857142857142</c:v>
                </c:pt>
                <c:pt idx="20">
                  <c:v>1521.4285714285713</c:v>
                </c:pt>
                <c:pt idx="21">
                  <c:v>1528.5714285714287</c:v>
                </c:pt>
                <c:pt idx="22">
                  <c:v>1542.8571428571429</c:v>
                </c:pt>
                <c:pt idx="23">
                  <c:v>1532.8571428571429</c:v>
                </c:pt>
                <c:pt idx="24">
                  <c:v>1465.7142857142858</c:v>
                </c:pt>
                <c:pt idx="25">
                  <c:v>1465.7142857142858</c:v>
                </c:pt>
                <c:pt idx="26">
                  <c:v>1485.7142857142858</c:v>
                </c:pt>
                <c:pt idx="27">
                  <c:v>1500</c:v>
                </c:pt>
                <c:pt idx="28">
                  <c:v>1517.1428571428571</c:v>
                </c:pt>
                <c:pt idx="29">
                  <c:v>1531.4285714285713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47-4AC1-90BD-58D6EF073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23371951"/>
        <c:axId val="223374351"/>
      </c:lineChart>
      <c:catAx>
        <c:axId val="223371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374351"/>
        <c:crosses val="autoZero"/>
        <c:auto val="1"/>
        <c:lblAlgn val="ctr"/>
        <c:lblOffset val="100"/>
        <c:noMultiLvlLbl val="0"/>
      </c:catAx>
      <c:valAx>
        <c:axId val="22337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37195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225424</xdr:colOff>
      <xdr:row>2</xdr:row>
      <xdr:rowOff>88900</xdr:rowOff>
    </xdr:from>
    <xdr:to>
      <xdr:col>10</xdr:col>
      <xdr:colOff>920749</xdr:colOff>
      <xdr:row>17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830EBF-CA34-2BEA-3196-E6F76BF61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118A-D44F-4944-87A5-EEF7C1DB52AE}">
  <dimension ref="A1:L13"/>
  <sheetViews>
    <sheetView topLeftCell="E3" workbookViewId="0">
      <selection activeCell="J9" sqref="J9"/>
    </sheetView>
  </sheetViews>
  <sheetFormatPr defaultRowHeight="14.5" x14ac:dyDescent="0.35"/>
  <cols>
    <col min="1" max="1" width="6.453125" bestFit="1" customWidth="1"/>
    <col min="2" max="2" width="10.08984375" bestFit="1" customWidth="1"/>
    <col min="3" max="3" width="17.26953125" customWidth="1"/>
    <col min="4" max="4" width="17.1796875" customWidth="1"/>
    <col min="5" max="5" width="20.08984375" customWidth="1"/>
    <col min="8" max="8" width="27" customWidth="1"/>
    <col min="9" max="9" width="19" bestFit="1" customWidth="1"/>
    <col min="10" max="10" width="16" bestFit="1" customWidth="1"/>
    <col min="11" max="11" width="15.54296875" bestFit="1" customWidth="1"/>
    <col min="12" max="12" width="20.7265625" bestFit="1" customWidth="1"/>
  </cols>
  <sheetData>
    <row r="1" spans="1:12" x14ac:dyDescent="0.35">
      <c r="A1" t="s">
        <v>0</v>
      </c>
      <c r="B1" t="s">
        <v>13</v>
      </c>
      <c r="C1" t="s">
        <v>14</v>
      </c>
      <c r="D1" t="s">
        <v>15</v>
      </c>
      <c r="E1" t="s">
        <v>16</v>
      </c>
      <c r="H1" s="2"/>
      <c r="I1" s="2" t="s">
        <v>13</v>
      </c>
      <c r="J1" s="2" t="s">
        <v>14</v>
      </c>
      <c r="K1" s="2" t="s">
        <v>15</v>
      </c>
      <c r="L1" s="2" t="s">
        <v>16</v>
      </c>
    </row>
    <row r="2" spans="1:12" x14ac:dyDescent="0.35">
      <c r="A2" t="s">
        <v>1</v>
      </c>
      <c r="B2">
        <v>12000</v>
      </c>
      <c r="C2">
        <v>45000</v>
      </c>
      <c r="D2">
        <v>35</v>
      </c>
      <c r="E2">
        <v>5</v>
      </c>
      <c r="H2" t="s">
        <v>13</v>
      </c>
      <c r="I2">
        <v>1</v>
      </c>
    </row>
    <row r="3" spans="1:12" x14ac:dyDescent="0.35">
      <c r="A3" t="s">
        <v>2</v>
      </c>
      <c r="B3">
        <v>10000</v>
      </c>
      <c r="C3">
        <v>42000</v>
      </c>
      <c r="D3">
        <v>40</v>
      </c>
      <c r="E3">
        <v>5</v>
      </c>
      <c r="H3" t="s">
        <v>14</v>
      </c>
      <c r="I3">
        <v>0.98594994573478834</v>
      </c>
      <c r="J3">
        <v>1</v>
      </c>
    </row>
    <row r="4" spans="1:12" x14ac:dyDescent="0.35">
      <c r="A4" t="s">
        <v>3</v>
      </c>
      <c r="B4">
        <v>15000</v>
      </c>
      <c r="C4">
        <v>52000</v>
      </c>
      <c r="D4">
        <v>50</v>
      </c>
      <c r="E4">
        <v>6</v>
      </c>
      <c r="H4" t="s">
        <v>15</v>
      </c>
      <c r="I4">
        <v>0.9102733716417426</v>
      </c>
      <c r="J4">
        <v>0.89532351144859224</v>
      </c>
      <c r="K4">
        <v>1</v>
      </c>
    </row>
    <row r="5" spans="1:12" ht="15" thickBot="1" x14ac:dyDescent="0.4">
      <c r="A5" t="s">
        <v>4</v>
      </c>
      <c r="B5">
        <v>18000</v>
      </c>
      <c r="C5">
        <v>60000</v>
      </c>
      <c r="D5">
        <v>60</v>
      </c>
      <c r="E5">
        <v>6</v>
      </c>
      <c r="H5" s="1" t="s">
        <v>16</v>
      </c>
      <c r="I5" s="1">
        <v>0.89318751307774447</v>
      </c>
      <c r="J5" s="1">
        <v>0.86513739800290801</v>
      </c>
      <c r="K5" s="1">
        <v>0.96588656588207966</v>
      </c>
      <c r="L5" s="1">
        <v>1</v>
      </c>
    </row>
    <row r="6" spans="1:12" x14ac:dyDescent="0.35">
      <c r="A6" t="s">
        <v>5</v>
      </c>
      <c r="B6">
        <v>20000</v>
      </c>
      <c r="C6">
        <v>68000</v>
      </c>
      <c r="D6">
        <v>70</v>
      </c>
      <c r="E6">
        <v>7</v>
      </c>
    </row>
    <row r="7" spans="1:12" x14ac:dyDescent="0.35">
      <c r="A7" t="s">
        <v>6</v>
      </c>
      <c r="B7">
        <v>22000</v>
      </c>
      <c r="C7">
        <v>75000</v>
      </c>
      <c r="D7">
        <v>80</v>
      </c>
      <c r="E7">
        <v>7</v>
      </c>
    </row>
    <row r="8" spans="1:12" x14ac:dyDescent="0.35">
      <c r="A8" t="s">
        <v>7</v>
      </c>
      <c r="B8">
        <v>25000</v>
      </c>
      <c r="C8">
        <v>80000</v>
      </c>
      <c r="D8">
        <v>85</v>
      </c>
      <c r="E8">
        <v>8</v>
      </c>
      <c r="I8" s="8" t="s">
        <v>58</v>
      </c>
    </row>
    <row r="9" spans="1:12" ht="43.5" x14ac:dyDescent="0.35">
      <c r="A9" t="s">
        <v>8</v>
      </c>
      <c r="B9">
        <v>24000</v>
      </c>
      <c r="C9">
        <v>78000</v>
      </c>
      <c r="D9">
        <v>83</v>
      </c>
      <c r="E9">
        <v>8</v>
      </c>
      <c r="H9" s="9" t="s">
        <v>17</v>
      </c>
      <c r="I9" s="10" t="s">
        <v>13</v>
      </c>
      <c r="J9" s="3"/>
    </row>
    <row r="10" spans="1:12" ht="72.5" x14ac:dyDescent="0.35">
      <c r="A10" t="s">
        <v>9</v>
      </c>
      <c r="B10">
        <v>20000</v>
      </c>
      <c r="C10">
        <v>70000</v>
      </c>
      <c r="D10">
        <v>75</v>
      </c>
      <c r="E10">
        <v>7</v>
      </c>
      <c r="H10" s="9" t="s">
        <v>18</v>
      </c>
      <c r="I10" s="5" t="s">
        <v>19</v>
      </c>
      <c r="J10" s="3"/>
    </row>
    <row r="11" spans="1:12" ht="43.5" x14ac:dyDescent="0.35">
      <c r="A11" t="s">
        <v>10</v>
      </c>
      <c r="B11">
        <v>17000</v>
      </c>
      <c r="C11">
        <v>62000</v>
      </c>
      <c r="D11">
        <v>60</v>
      </c>
      <c r="E11">
        <v>6</v>
      </c>
      <c r="H11" s="9" t="s">
        <v>20</v>
      </c>
      <c r="I11" s="5" t="s">
        <v>21</v>
      </c>
      <c r="J11" s="3"/>
    </row>
    <row r="12" spans="1:12" x14ac:dyDescent="0.35">
      <c r="A12" t="s">
        <v>11</v>
      </c>
      <c r="B12">
        <v>15000</v>
      </c>
      <c r="C12">
        <v>58000</v>
      </c>
      <c r="D12">
        <v>50</v>
      </c>
      <c r="E12">
        <v>6</v>
      </c>
    </row>
    <row r="13" spans="1:12" x14ac:dyDescent="0.35">
      <c r="A13" t="s">
        <v>12</v>
      </c>
      <c r="B13">
        <v>18000</v>
      </c>
      <c r="C13">
        <v>65000</v>
      </c>
      <c r="D13">
        <v>40</v>
      </c>
      <c r="E13">
        <v>5</v>
      </c>
    </row>
  </sheetData>
  <phoneticPr fontId="2" type="noConversion"/>
  <conditionalFormatting sqref="H1:L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1407-2152-4C10-AB8E-7F03BF6B4C0A}">
  <dimension ref="A1:P44"/>
  <sheetViews>
    <sheetView topLeftCell="A19" workbookViewId="0">
      <selection activeCell="D24" sqref="D24"/>
    </sheetView>
  </sheetViews>
  <sheetFormatPr defaultRowHeight="14.5" x14ac:dyDescent="0.35"/>
  <cols>
    <col min="1" max="1" width="14.08984375" bestFit="1" customWidth="1"/>
    <col min="2" max="2" width="20.7265625" bestFit="1" customWidth="1"/>
    <col min="3" max="3" width="22.6328125" bestFit="1" customWidth="1"/>
    <col min="4" max="4" width="24.54296875" bestFit="1" customWidth="1"/>
    <col min="8" max="8" width="17.08984375" customWidth="1"/>
    <col min="9" max="9" width="36.54296875" customWidth="1"/>
    <col min="10" max="10" width="16" customWidth="1"/>
    <col min="11" max="11" width="16.08984375" customWidth="1"/>
    <col min="12" max="12" width="12.453125" customWidth="1"/>
    <col min="13" max="13" width="13.7265625" customWidth="1"/>
    <col min="14" max="14" width="16.7265625" customWidth="1"/>
    <col min="15" max="15" width="12.6328125" customWidth="1"/>
    <col min="16" max="16" width="12.1796875" customWidth="1"/>
  </cols>
  <sheetData>
    <row r="1" spans="1:16" x14ac:dyDescent="0.35">
      <c r="A1" t="s">
        <v>22</v>
      </c>
      <c r="B1" t="s">
        <v>23</v>
      </c>
      <c r="C1" t="s">
        <v>24</v>
      </c>
      <c r="D1" t="s">
        <v>25</v>
      </c>
      <c r="H1" t="s">
        <v>26</v>
      </c>
    </row>
    <row r="2" spans="1:16" ht="15" thickBot="1" x14ac:dyDescent="0.4">
      <c r="A2">
        <v>1.2</v>
      </c>
      <c r="B2">
        <v>18</v>
      </c>
      <c r="C2">
        <v>2</v>
      </c>
      <c r="D2">
        <v>9</v>
      </c>
    </row>
    <row r="3" spans="1:16" x14ac:dyDescent="0.35">
      <c r="A3">
        <v>3.5</v>
      </c>
      <c r="B3">
        <v>28</v>
      </c>
      <c r="C3">
        <v>3</v>
      </c>
      <c r="D3">
        <v>8</v>
      </c>
      <c r="H3" s="4" t="s">
        <v>27</v>
      </c>
      <c r="I3" s="4"/>
    </row>
    <row r="4" spans="1:16" x14ac:dyDescent="0.35">
      <c r="A4">
        <v>2</v>
      </c>
      <c r="B4">
        <v>22</v>
      </c>
      <c r="C4">
        <v>1</v>
      </c>
      <c r="D4">
        <v>7</v>
      </c>
      <c r="H4" t="s">
        <v>28</v>
      </c>
      <c r="I4">
        <v>0.96855482939001458</v>
      </c>
    </row>
    <row r="5" spans="1:16" x14ac:dyDescent="0.35">
      <c r="A5">
        <v>5.8</v>
      </c>
      <c r="B5">
        <v>40</v>
      </c>
      <c r="C5">
        <v>4</v>
      </c>
      <c r="D5">
        <v>6</v>
      </c>
      <c r="H5" t="s">
        <v>29</v>
      </c>
      <c r="I5">
        <v>0.93809845753472032</v>
      </c>
    </row>
    <row r="6" spans="1:16" x14ac:dyDescent="0.35">
      <c r="A6">
        <v>4.2</v>
      </c>
      <c r="B6">
        <v>35</v>
      </c>
      <c r="C6">
        <v>2</v>
      </c>
      <c r="D6">
        <v>7</v>
      </c>
      <c r="H6" t="s">
        <v>30</v>
      </c>
      <c r="I6">
        <v>0.92649191832248046</v>
      </c>
    </row>
    <row r="7" spans="1:16" x14ac:dyDescent="0.35">
      <c r="A7">
        <v>6.5</v>
      </c>
      <c r="B7">
        <v>48</v>
      </c>
      <c r="C7">
        <v>5</v>
      </c>
      <c r="D7">
        <v>5</v>
      </c>
      <c r="H7" t="s">
        <v>31</v>
      </c>
      <c r="I7">
        <v>0.491931237649331</v>
      </c>
    </row>
    <row r="8" spans="1:16" ht="15" thickBot="1" x14ac:dyDescent="0.4">
      <c r="A8">
        <v>1</v>
      </c>
      <c r="B8">
        <v>15</v>
      </c>
      <c r="C8">
        <v>1</v>
      </c>
      <c r="D8">
        <v>10</v>
      </c>
      <c r="H8" s="1" t="s">
        <v>32</v>
      </c>
      <c r="I8" s="1">
        <v>20</v>
      </c>
    </row>
    <row r="9" spans="1:16" x14ac:dyDescent="0.35">
      <c r="A9">
        <v>7.2</v>
      </c>
      <c r="B9">
        <v>55</v>
      </c>
      <c r="C9">
        <v>6</v>
      </c>
      <c r="D9">
        <v>4</v>
      </c>
    </row>
    <row r="10" spans="1:16" ht="15" thickBot="1" x14ac:dyDescent="0.4">
      <c r="A10">
        <v>2.8</v>
      </c>
      <c r="B10">
        <v>25</v>
      </c>
      <c r="C10">
        <v>3</v>
      </c>
      <c r="D10">
        <v>8</v>
      </c>
      <c r="H10" t="s">
        <v>33</v>
      </c>
    </row>
    <row r="11" spans="1:16" x14ac:dyDescent="0.35">
      <c r="A11">
        <v>3</v>
      </c>
      <c r="B11">
        <v>27</v>
      </c>
      <c r="C11">
        <v>2</v>
      </c>
      <c r="D11">
        <v>7</v>
      </c>
      <c r="H11" s="2"/>
      <c r="I11" s="2" t="s">
        <v>38</v>
      </c>
      <c r="J11" s="2" t="s">
        <v>39</v>
      </c>
      <c r="K11" s="2" t="s">
        <v>40</v>
      </c>
      <c r="L11" s="2" t="s">
        <v>41</v>
      </c>
      <c r="M11" s="2" t="s">
        <v>42</v>
      </c>
    </row>
    <row r="12" spans="1:16" x14ac:dyDescent="0.35">
      <c r="A12">
        <v>8</v>
      </c>
      <c r="B12">
        <v>60</v>
      </c>
      <c r="C12">
        <v>5</v>
      </c>
      <c r="D12">
        <v>4</v>
      </c>
      <c r="H12" t="s">
        <v>34</v>
      </c>
      <c r="I12">
        <v>3</v>
      </c>
      <c r="J12">
        <v>58.67805851879676</v>
      </c>
      <c r="K12">
        <v>19.559352839598919</v>
      </c>
      <c r="L12">
        <v>80.824993598903959</v>
      </c>
      <c r="M12">
        <v>6.9962850818354857E-10</v>
      </c>
    </row>
    <row r="13" spans="1:16" x14ac:dyDescent="0.35">
      <c r="A13">
        <v>1.5</v>
      </c>
      <c r="B13">
        <v>20</v>
      </c>
      <c r="C13">
        <v>2</v>
      </c>
      <c r="D13">
        <v>9</v>
      </c>
      <c r="H13" t="s">
        <v>35</v>
      </c>
      <c r="I13">
        <v>16</v>
      </c>
      <c r="J13">
        <v>3.8719414812032413</v>
      </c>
      <c r="K13">
        <v>0.24199634257520258</v>
      </c>
    </row>
    <row r="14" spans="1:16" ht="15" thickBot="1" x14ac:dyDescent="0.4">
      <c r="A14">
        <v>4.5</v>
      </c>
      <c r="B14">
        <v>38</v>
      </c>
      <c r="C14">
        <v>4</v>
      </c>
      <c r="D14">
        <v>6</v>
      </c>
      <c r="H14" s="1" t="s">
        <v>36</v>
      </c>
      <c r="I14" s="1">
        <v>19</v>
      </c>
      <c r="J14" s="1">
        <v>62.550000000000004</v>
      </c>
      <c r="K14" s="1"/>
      <c r="L14" s="1"/>
      <c r="M14" s="1"/>
    </row>
    <row r="15" spans="1:16" ht="15" thickBot="1" x14ac:dyDescent="0.4">
      <c r="A15">
        <v>2.2000000000000002</v>
      </c>
      <c r="B15">
        <v>23</v>
      </c>
      <c r="C15">
        <v>1</v>
      </c>
      <c r="D15">
        <v>8</v>
      </c>
    </row>
    <row r="16" spans="1:16" x14ac:dyDescent="0.35">
      <c r="A16">
        <v>5</v>
      </c>
      <c r="B16">
        <v>42</v>
      </c>
      <c r="C16">
        <v>3</v>
      </c>
      <c r="D16">
        <v>6</v>
      </c>
      <c r="H16" s="2"/>
      <c r="I16" s="2" t="s">
        <v>43</v>
      </c>
      <c r="J16" s="2" t="s">
        <v>31</v>
      </c>
      <c r="K16" s="2" t="s">
        <v>44</v>
      </c>
      <c r="L16" s="2" t="s">
        <v>45</v>
      </c>
      <c r="M16" s="2" t="s">
        <v>46</v>
      </c>
      <c r="N16" s="2" t="s">
        <v>47</v>
      </c>
      <c r="O16" s="2" t="s">
        <v>48</v>
      </c>
      <c r="P16" s="2" t="s">
        <v>49</v>
      </c>
    </row>
    <row r="17" spans="1:16" x14ac:dyDescent="0.35">
      <c r="A17">
        <v>6.8</v>
      </c>
      <c r="B17">
        <v>50</v>
      </c>
      <c r="C17">
        <v>5</v>
      </c>
      <c r="D17">
        <v>5</v>
      </c>
      <c r="H17" t="s">
        <v>37</v>
      </c>
      <c r="I17">
        <v>11.030494069866668</v>
      </c>
      <c r="J17">
        <v>0.61054875409124287</v>
      </c>
      <c r="K17">
        <v>18.066524574740555</v>
      </c>
      <c r="L17">
        <v>4.5604903653404703E-12</v>
      </c>
      <c r="M17">
        <v>9.7361885306357081</v>
      </c>
      <c r="N17">
        <v>12.324799609097628</v>
      </c>
      <c r="O17">
        <v>9.7361885306357081</v>
      </c>
      <c r="P17">
        <v>12.324799609097628</v>
      </c>
    </row>
    <row r="18" spans="1:16" x14ac:dyDescent="0.35">
      <c r="A18">
        <v>3.3</v>
      </c>
      <c r="B18">
        <v>30</v>
      </c>
      <c r="C18">
        <v>2</v>
      </c>
      <c r="D18">
        <v>7</v>
      </c>
      <c r="H18" t="s">
        <v>22</v>
      </c>
      <c r="I18">
        <v>-3.5223238741065158E-2</v>
      </c>
      <c r="J18">
        <v>0.41077545237492979</v>
      </c>
      <c r="K18">
        <v>-8.5748158847904127E-2</v>
      </c>
      <c r="L18">
        <v>0.93273048275278492</v>
      </c>
      <c r="M18">
        <v>-0.9060282970206871</v>
      </c>
      <c r="N18">
        <v>0.83558181953855681</v>
      </c>
      <c r="O18">
        <v>-0.9060282970206871</v>
      </c>
      <c r="P18">
        <v>0.83558181953855681</v>
      </c>
    </row>
    <row r="19" spans="1:16" x14ac:dyDescent="0.35">
      <c r="A19">
        <v>1.8</v>
      </c>
      <c r="B19">
        <v>19</v>
      </c>
      <c r="C19">
        <v>2</v>
      </c>
      <c r="D19">
        <v>9</v>
      </c>
      <c r="H19" t="s">
        <v>23</v>
      </c>
      <c r="I19">
        <v>-0.1317085777598114</v>
      </c>
      <c r="J19">
        <v>6.3501704378984128E-2</v>
      </c>
      <c r="K19">
        <v>-2.0740951608757183</v>
      </c>
      <c r="L19">
        <v>5.456930694061899E-2</v>
      </c>
      <c r="M19">
        <v>-0.26632617738240144</v>
      </c>
      <c r="N19">
        <v>2.9090218627786379E-3</v>
      </c>
      <c r="O19">
        <v>-0.26632617738240144</v>
      </c>
      <c r="P19">
        <v>2.9090218627786379E-3</v>
      </c>
    </row>
    <row r="20" spans="1:16" ht="15" thickBot="1" x14ac:dyDescent="0.4">
      <c r="A20">
        <v>7.5</v>
      </c>
      <c r="B20">
        <v>58</v>
      </c>
      <c r="C20">
        <v>6</v>
      </c>
      <c r="D20">
        <v>4</v>
      </c>
      <c r="H20" s="1" t="s">
        <v>24</v>
      </c>
      <c r="I20" s="1">
        <v>0.13524599704784657</v>
      </c>
      <c r="J20" s="1">
        <v>0.1693864888232339</v>
      </c>
      <c r="K20" s="1">
        <v>0.79844619241729953</v>
      </c>
      <c r="L20" s="1">
        <v>0.43630346919233254</v>
      </c>
      <c r="M20" s="1">
        <v>-0.22383731822500885</v>
      </c>
      <c r="N20" s="1">
        <v>0.49432931232070199</v>
      </c>
      <c r="O20" s="1">
        <v>-0.22383731822500885</v>
      </c>
      <c r="P20" s="1">
        <v>0.49432931232070199</v>
      </c>
    </row>
    <row r="22" spans="1:16" ht="15" thickBot="1" x14ac:dyDescent="0.4">
      <c r="C22" s="7" t="s">
        <v>58</v>
      </c>
      <c r="H22" t="s">
        <v>50</v>
      </c>
    </row>
    <row r="23" spans="1:16" ht="29.5" thickBot="1" x14ac:dyDescent="0.4">
      <c r="B23" s="6" t="s">
        <v>54</v>
      </c>
      <c r="C23" s="5" t="s">
        <v>55</v>
      </c>
    </row>
    <row r="24" spans="1:16" ht="58" x14ac:dyDescent="0.35">
      <c r="B24" s="6" t="s">
        <v>56</v>
      </c>
      <c r="C24" s="5" t="s">
        <v>59</v>
      </c>
      <c r="H24" s="2" t="s">
        <v>51</v>
      </c>
      <c r="I24" s="2" t="s">
        <v>52</v>
      </c>
      <c r="J24" s="2" t="s">
        <v>53</v>
      </c>
    </row>
    <row r="25" spans="1:16" ht="58" x14ac:dyDescent="0.35">
      <c r="B25" s="6" t="s">
        <v>57</v>
      </c>
      <c r="C25" s="5" t="s">
        <v>60</v>
      </c>
      <c r="H25">
        <v>1</v>
      </c>
      <c r="I25">
        <v>8.8879637777964788</v>
      </c>
      <c r="J25">
        <v>0.11203622220352116</v>
      </c>
    </row>
    <row r="26" spans="1:16" x14ac:dyDescent="0.35">
      <c r="H26">
        <v>2</v>
      </c>
      <c r="I26">
        <v>7.6251105481417616</v>
      </c>
      <c r="J26">
        <v>0.37488945185823841</v>
      </c>
    </row>
    <row r="27" spans="1:16" x14ac:dyDescent="0.35">
      <c r="H27">
        <v>3</v>
      </c>
      <c r="I27">
        <v>8.1977048787165323</v>
      </c>
      <c r="J27">
        <v>-1.1977048787165323</v>
      </c>
    </row>
    <row r="28" spans="1:16" x14ac:dyDescent="0.35">
      <c r="H28">
        <v>4</v>
      </c>
      <c r="I28">
        <v>6.0988401629674209</v>
      </c>
      <c r="J28">
        <v>-9.884016296742093E-2</v>
      </c>
    </row>
    <row r="29" spans="1:16" x14ac:dyDescent="0.35">
      <c r="H29">
        <v>5</v>
      </c>
      <c r="I29">
        <v>6.5432482396564886</v>
      </c>
      <c r="J29">
        <v>0.45675176034351139</v>
      </c>
    </row>
    <row r="30" spans="1:16" x14ac:dyDescent="0.35">
      <c r="H30">
        <v>6</v>
      </c>
      <c r="I30">
        <v>5.1557612708180303</v>
      </c>
      <c r="J30">
        <v>-0.15576127081803026</v>
      </c>
    </row>
    <row r="31" spans="1:16" x14ac:dyDescent="0.35">
      <c r="H31">
        <v>7</v>
      </c>
      <c r="I31">
        <v>9.1548881617762792</v>
      </c>
      <c r="J31">
        <v>0.84511183822372082</v>
      </c>
    </row>
    <row r="32" spans="1:16" x14ac:dyDescent="0.35">
      <c r="H32">
        <v>8</v>
      </c>
      <c r="I32">
        <v>4.34439095642845</v>
      </c>
      <c r="J32">
        <v>-0.34439095642844997</v>
      </c>
    </row>
    <row r="33" spans="8:10" x14ac:dyDescent="0.35">
      <c r="H33">
        <v>9</v>
      </c>
      <c r="I33">
        <v>8.0448925485399396</v>
      </c>
      <c r="J33">
        <v>-4.4892548539939625E-2</v>
      </c>
    </row>
    <row r="34" spans="8:10" x14ac:dyDescent="0.35">
      <c r="H34">
        <v>10</v>
      </c>
      <c r="I34">
        <v>7.6391847482242579</v>
      </c>
      <c r="J34">
        <v>-0.63918474822425786</v>
      </c>
    </row>
    <row r="35" spans="8:10" x14ac:dyDescent="0.35">
      <c r="H35">
        <v>11</v>
      </c>
      <c r="I35">
        <v>3.5224234795886957</v>
      </c>
      <c r="J35">
        <v>0.47757652041130427</v>
      </c>
    </row>
    <row r="36" spans="8:10" x14ac:dyDescent="0.35">
      <c r="H36">
        <v>12</v>
      </c>
      <c r="I36">
        <v>8.6139796506545352</v>
      </c>
      <c r="J36">
        <v>0.38602034934546481</v>
      </c>
    </row>
    <row r="37" spans="8:10" x14ac:dyDescent="0.35">
      <c r="H37">
        <v>13</v>
      </c>
      <c r="I37">
        <v>6.4080475288504273</v>
      </c>
      <c r="J37">
        <v>-0.40804752885042728</v>
      </c>
    </row>
    <row r="38" spans="8:10" x14ac:dyDescent="0.35">
      <c r="H38">
        <v>14</v>
      </c>
      <c r="I38">
        <v>8.0589516532085081</v>
      </c>
      <c r="J38">
        <v>-5.8951653208508148E-2</v>
      </c>
    </row>
    <row r="39" spans="8:10" x14ac:dyDescent="0.35">
      <c r="H39">
        <v>15</v>
      </c>
      <c r="I39">
        <v>5.7283556013928028</v>
      </c>
      <c r="J39">
        <v>0.27164439860719725</v>
      </c>
    </row>
    <row r="40" spans="8:10" x14ac:dyDescent="0.35">
      <c r="H40">
        <v>16</v>
      </c>
      <c r="I40">
        <v>4.8817771436760866</v>
      </c>
      <c r="J40">
        <v>0.11822285632391338</v>
      </c>
    </row>
    <row r="41" spans="8:10" x14ac:dyDescent="0.35">
      <c r="H41">
        <v>17</v>
      </c>
      <c r="I41">
        <v>7.2334920433225047</v>
      </c>
      <c r="J41">
        <v>-0.23349204332250473</v>
      </c>
    </row>
    <row r="42" spans="8:10" x14ac:dyDescent="0.35">
      <c r="H42">
        <v>18</v>
      </c>
      <c r="I42">
        <v>8.7351212567920271</v>
      </c>
      <c r="J42">
        <v>0.26487874320797289</v>
      </c>
    </row>
    <row r="43" spans="8:10" x14ac:dyDescent="0.35">
      <c r="H43">
        <v>19</v>
      </c>
      <c r="I43">
        <v>3.9386982515266973</v>
      </c>
      <c r="J43">
        <v>6.130174847330272E-2</v>
      </c>
    </row>
    <row r="44" spans="8:10" ht="15" thickBot="1" x14ac:dyDescent="0.4">
      <c r="H44" s="1">
        <v>20</v>
      </c>
      <c r="I44" s="1">
        <v>8.1871680979220702</v>
      </c>
      <c r="J44" s="1">
        <v>-0.18716809792207023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4B20-C413-4A15-9E84-9250FD1A65EB}">
  <dimension ref="A1:J25"/>
  <sheetViews>
    <sheetView topLeftCell="E1" workbookViewId="0">
      <selection activeCell="J10" sqref="J10"/>
    </sheetView>
  </sheetViews>
  <sheetFormatPr defaultRowHeight="14.5" x14ac:dyDescent="0.35"/>
  <cols>
    <col min="1" max="1" width="6.453125" bestFit="1" customWidth="1"/>
    <col min="2" max="2" width="17.08984375" bestFit="1" customWidth="1"/>
    <col min="3" max="3" width="17" bestFit="1" customWidth="1"/>
    <col min="4" max="4" width="22.26953125" bestFit="1" customWidth="1"/>
    <col min="8" max="8" width="19" customWidth="1"/>
    <col min="9" max="9" width="40.90625" customWidth="1"/>
    <col min="10" max="10" width="18.6328125" customWidth="1"/>
  </cols>
  <sheetData>
    <row r="1" spans="1:10" x14ac:dyDescent="0.35">
      <c r="A1" t="s">
        <v>0</v>
      </c>
      <c r="B1" t="s">
        <v>61</v>
      </c>
      <c r="C1" t="s">
        <v>62</v>
      </c>
      <c r="D1" t="s">
        <v>63</v>
      </c>
    </row>
    <row r="2" spans="1:10" x14ac:dyDescent="0.35">
      <c r="A2">
        <v>1</v>
      </c>
      <c r="B2">
        <v>2.5</v>
      </c>
      <c r="C2">
        <v>1.8</v>
      </c>
      <c r="D2">
        <v>2.1</v>
      </c>
    </row>
    <row r="3" spans="1:10" x14ac:dyDescent="0.35">
      <c r="A3">
        <v>2</v>
      </c>
      <c r="B3">
        <v>-1.2</v>
      </c>
      <c r="C3">
        <v>-0.8</v>
      </c>
      <c r="D3">
        <v>-1</v>
      </c>
    </row>
    <row r="4" spans="1:10" ht="15" thickBot="1" x14ac:dyDescent="0.4">
      <c r="A4">
        <v>3</v>
      </c>
      <c r="B4">
        <v>3</v>
      </c>
      <c r="C4">
        <v>2.5</v>
      </c>
      <c r="D4">
        <v>2.7</v>
      </c>
    </row>
    <row r="5" spans="1:10" x14ac:dyDescent="0.35">
      <c r="A5">
        <v>4</v>
      </c>
      <c r="B5">
        <v>1.5</v>
      </c>
      <c r="C5">
        <v>1</v>
      </c>
      <c r="D5">
        <v>1.3</v>
      </c>
      <c r="H5" s="2"/>
      <c r="I5" s="2" t="s">
        <v>61</v>
      </c>
      <c r="J5" s="2" t="s">
        <v>62</v>
      </c>
    </row>
    <row r="6" spans="1:10" x14ac:dyDescent="0.35">
      <c r="A6">
        <v>5</v>
      </c>
      <c r="B6">
        <v>-2</v>
      </c>
      <c r="C6">
        <v>-1.5</v>
      </c>
      <c r="D6">
        <v>-1.8</v>
      </c>
      <c r="H6" t="s">
        <v>61</v>
      </c>
      <c r="I6">
        <f>VARP(CoVariance!$B$2:$B$25)</f>
        <v>4.2590972222222208</v>
      </c>
    </row>
    <row r="7" spans="1:10" x14ac:dyDescent="0.35">
      <c r="A7">
        <v>6</v>
      </c>
      <c r="B7">
        <v>4.2</v>
      </c>
      <c r="C7">
        <v>3.8</v>
      </c>
      <c r="D7">
        <v>4</v>
      </c>
      <c r="H7" t="s">
        <v>62</v>
      </c>
      <c r="I7">
        <v>3.4297569444444438</v>
      </c>
      <c r="J7">
        <f>VARP(CoVariance!$C$2:$C$25)</f>
        <v>2.8291493055555557</v>
      </c>
    </row>
    <row r="8" spans="1:10" ht="15" thickBot="1" x14ac:dyDescent="0.4">
      <c r="A8">
        <v>7</v>
      </c>
      <c r="B8">
        <v>0.8</v>
      </c>
      <c r="C8">
        <v>0.5</v>
      </c>
      <c r="D8">
        <v>0.6</v>
      </c>
      <c r="H8" s="1" t="s">
        <v>63</v>
      </c>
      <c r="I8" s="1">
        <v>3.8093402777777783</v>
      </c>
      <c r="J8" s="1">
        <v>3.1006076388888886</v>
      </c>
    </row>
    <row r="9" spans="1:10" x14ac:dyDescent="0.35">
      <c r="A9">
        <v>8</v>
      </c>
      <c r="B9">
        <v>-1.5</v>
      </c>
      <c r="C9">
        <v>-2.2000000000000002</v>
      </c>
      <c r="D9">
        <v>-1.8</v>
      </c>
    </row>
    <row r="10" spans="1:10" x14ac:dyDescent="0.35">
      <c r="A10">
        <v>9</v>
      </c>
      <c r="B10">
        <v>2.7</v>
      </c>
      <c r="C10">
        <v>2</v>
      </c>
      <c r="D10">
        <v>2.2999999999999998</v>
      </c>
    </row>
    <row r="11" spans="1:10" x14ac:dyDescent="0.35">
      <c r="A11">
        <v>10</v>
      </c>
      <c r="B11">
        <v>3.5</v>
      </c>
      <c r="C11">
        <v>2.8</v>
      </c>
      <c r="D11">
        <v>3.1</v>
      </c>
      <c r="H11" s="8"/>
      <c r="I11" s="8" t="s">
        <v>66</v>
      </c>
    </row>
    <row r="12" spans="1:10" ht="58" x14ac:dyDescent="0.35">
      <c r="A12">
        <v>11</v>
      </c>
      <c r="B12">
        <v>-0.5</v>
      </c>
      <c r="C12">
        <v>-0.2</v>
      </c>
      <c r="D12">
        <v>-0.3</v>
      </c>
      <c r="H12" s="11" t="s">
        <v>64</v>
      </c>
      <c r="I12" s="5" t="s">
        <v>65</v>
      </c>
    </row>
    <row r="13" spans="1:10" x14ac:dyDescent="0.35">
      <c r="A13">
        <v>12</v>
      </c>
      <c r="B13">
        <v>1.8</v>
      </c>
      <c r="C13">
        <v>1.2</v>
      </c>
      <c r="D13">
        <v>1.5</v>
      </c>
    </row>
    <row r="14" spans="1:10" x14ac:dyDescent="0.35">
      <c r="A14">
        <v>13</v>
      </c>
      <c r="B14">
        <v>2.2000000000000002</v>
      </c>
      <c r="C14">
        <v>1.5</v>
      </c>
      <c r="D14">
        <v>1.9</v>
      </c>
    </row>
    <row r="15" spans="1:10" x14ac:dyDescent="0.35">
      <c r="A15">
        <v>14</v>
      </c>
      <c r="B15">
        <v>-1</v>
      </c>
      <c r="C15">
        <v>-0.7</v>
      </c>
      <c r="D15">
        <v>-0.8</v>
      </c>
    </row>
    <row r="16" spans="1:10" x14ac:dyDescent="0.35">
      <c r="A16">
        <v>15</v>
      </c>
      <c r="B16">
        <v>3.8</v>
      </c>
      <c r="C16">
        <v>3</v>
      </c>
      <c r="D16">
        <v>3.4</v>
      </c>
    </row>
    <row r="17" spans="1:4" x14ac:dyDescent="0.35">
      <c r="A17">
        <v>16</v>
      </c>
      <c r="B17">
        <v>0.6</v>
      </c>
      <c r="C17">
        <v>0.4</v>
      </c>
      <c r="D17">
        <v>0.5</v>
      </c>
    </row>
    <row r="18" spans="1:4" x14ac:dyDescent="0.35">
      <c r="A18">
        <v>17</v>
      </c>
      <c r="B18">
        <v>-2.5</v>
      </c>
      <c r="C18">
        <v>-1.8</v>
      </c>
      <c r="D18">
        <v>-2.1</v>
      </c>
    </row>
    <row r="19" spans="1:4" x14ac:dyDescent="0.35">
      <c r="A19">
        <v>18</v>
      </c>
      <c r="B19">
        <v>4</v>
      </c>
      <c r="C19">
        <v>3.2</v>
      </c>
      <c r="D19">
        <v>3.6</v>
      </c>
    </row>
    <row r="20" spans="1:4" x14ac:dyDescent="0.35">
      <c r="A20">
        <v>19</v>
      </c>
      <c r="B20">
        <v>1.2</v>
      </c>
      <c r="C20">
        <v>0.9</v>
      </c>
      <c r="D20">
        <v>1</v>
      </c>
    </row>
    <row r="21" spans="1:4" x14ac:dyDescent="0.35">
      <c r="A21">
        <v>20</v>
      </c>
      <c r="B21">
        <v>-0.8</v>
      </c>
      <c r="C21">
        <v>-0.5</v>
      </c>
      <c r="D21">
        <v>-0.6</v>
      </c>
    </row>
    <row r="22" spans="1:4" x14ac:dyDescent="0.35">
      <c r="A22">
        <v>21</v>
      </c>
      <c r="B22">
        <v>2.9</v>
      </c>
      <c r="C22">
        <v>2.1</v>
      </c>
      <c r="D22">
        <v>2.5</v>
      </c>
    </row>
    <row r="23" spans="1:4" x14ac:dyDescent="0.35">
      <c r="A23">
        <v>22</v>
      </c>
      <c r="B23">
        <v>3.3</v>
      </c>
      <c r="C23">
        <v>2.7</v>
      </c>
      <c r="D23">
        <v>3</v>
      </c>
    </row>
    <row r="24" spans="1:4" x14ac:dyDescent="0.35">
      <c r="A24">
        <v>23</v>
      </c>
      <c r="B24">
        <v>-1.3</v>
      </c>
      <c r="C24">
        <v>-1</v>
      </c>
      <c r="D24">
        <v>-1.1000000000000001</v>
      </c>
    </row>
    <row r="25" spans="1:4" x14ac:dyDescent="0.35">
      <c r="A25">
        <v>24</v>
      </c>
      <c r="B25">
        <v>2.6</v>
      </c>
      <c r="C25">
        <v>2</v>
      </c>
      <c r="D25">
        <v>2.2999999999999998</v>
      </c>
    </row>
  </sheetData>
  <conditionalFormatting sqref="H8:J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2D1A-2F53-4260-9220-682EB024BF20}">
  <dimension ref="A1:I31"/>
  <sheetViews>
    <sheetView topLeftCell="A18" workbookViewId="0">
      <selection activeCell="I21" sqref="I21"/>
    </sheetView>
  </sheetViews>
  <sheetFormatPr defaultRowHeight="14.5" x14ac:dyDescent="0.35"/>
  <cols>
    <col min="1" max="1" width="4" bestFit="1" customWidth="1"/>
    <col min="2" max="2" width="10" bestFit="1" customWidth="1"/>
    <col min="3" max="3" width="13.81640625" customWidth="1"/>
    <col min="4" max="5" width="12.54296875" bestFit="1" customWidth="1"/>
    <col min="8" max="8" width="12.36328125" bestFit="1" customWidth="1"/>
    <col min="9" max="11" width="20.453125" bestFit="1" customWidth="1"/>
  </cols>
  <sheetData>
    <row r="1" spans="1:5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5" x14ac:dyDescent="0.35">
      <c r="A2">
        <v>1</v>
      </c>
      <c r="B2">
        <v>1250</v>
      </c>
      <c r="C2" t="e">
        <v>#N/A</v>
      </c>
      <c r="D2" t="e">
        <v>#N/A</v>
      </c>
      <c r="E2" t="e">
        <v>#N/A</v>
      </c>
    </row>
    <row r="3" spans="1:5" x14ac:dyDescent="0.35">
      <c r="A3">
        <v>2</v>
      </c>
      <c r="B3">
        <v>1180</v>
      </c>
      <c r="C3" t="e">
        <v>#N/A</v>
      </c>
      <c r="D3" t="e">
        <v>#N/A</v>
      </c>
      <c r="E3" t="e">
        <v>#N/A</v>
      </c>
    </row>
    <row r="4" spans="1:5" x14ac:dyDescent="0.35">
      <c r="A4">
        <v>3</v>
      </c>
      <c r="B4">
        <v>1340</v>
      </c>
      <c r="C4">
        <f t="shared" ref="C4:C31" si="0">AVERAGE(B2:B4)</f>
        <v>1256.6666666666667</v>
      </c>
      <c r="D4" t="e">
        <v>#N/A</v>
      </c>
      <c r="E4" t="e">
        <v>#N/A</v>
      </c>
    </row>
    <row r="5" spans="1:5" x14ac:dyDescent="0.35">
      <c r="A5">
        <v>4</v>
      </c>
      <c r="B5">
        <v>1420</v>
      </c>
      <c r="C5">
        <f t="shared" si="0"/>
        <v>1313.3333333333333</v>
      </c>
      <c r="D5" t="e">
        <v>#N/A</v>
      </c>
      <c r="E5" t="e">
        <v>#N/A</v>
      </c>
    </row>
    <row r="6" spans="1:5" x14ac:dyDescent="0.35">
      <c r="A6">
        <v>5</v>
      </c>
      <c r="B6">
        <v>1600</v>
      </c>
      <c r="C6">
        <f t="shared" si="0"/>
        <v>1453.3333333333333</v>
      </c>
      <c r="D6">
        <f t="shared" ref="D6:D31" si="1">AVERAGE(B2:B6)</f>
        <v>1358</v>
      </c>
      <c r="E6" t="e">
        <v>#N/A</v>
      </c>
    </row>
    <row r="7" spans="1:5" x14ac:dyDescent="0.35">
      <c r="A7">
        <v>6</v>
      </c>
      <c r="B7">
        <v>1550</v>
      </c>
      <c r="C7">
        <f t="shared" si="0"/>
        <v>1523.3333333333333</v>
      </c>
      <c r="D7">
        <f t="shared" si="1"/>
        <v>1418</v>
      </c>
      <c r="E7" t="e">
        <v>#N/A</v>
      </c>
    </row>
    <row r="8" spans="1:5" x14ac:dyDescent="0.35">
      <c r="A8">
        <v>7</v>
      </c>
      <c r="B8">
        <v>1200</v>
      </c>
      <c r="C8">
        <f t="shared" si="0"/>
        <v>1450</v>
      </c>
      <c r="D8">
        <f t="shared" si="1"/>
        <v>1422</v>
      </c>
      <c r="E8">
        <f t="shared" ref="E8:E31" si="2">AVERAGE(B2:B8)</f>
        <v>1362.8571428571429</v>
      </c>
    </row>
    <row r="9" spans="1:5" x14ac:dyDescent="0.35">
      <c r="A9">
        <v>8</v>
      </c>
      <c r="B9">
        <v>1310</v>
      </c>
      <c r="C9">
        <f t="shared" si="0"/>
        <v>1353.3333333333333</v>
      </c>
      <c r="D9">
        <f t="shared" si="1"/>
        <v>1416</v>
      </c>
      <c r="E9">
        <f t="shared" si="2"/>
        <v>1371.4285714285713</v>
      </c>
    </row>
    <row r="10" spans="1:5" x14ac:dyDescent="0.35">
      <c r="A10">
        <v>9</v>
      </c>
      <c r="B10">
        <v>1450</v>
      </c>
      <c r="C10">
        <f t="shared" si="0"/>
        <v>1320</v>
      </c>
      <c r="D10">
        <f t="shared" si="1"/>
        <v>1422</v>
      </c>
      <c r="E10">
        <f t="shared" si="2"/>
        <v>1410</v>
      </c>
    </row>
    <row r="11" spans="1:5" x14ac:dyDescent="0.35">
      <c r="A11">
        <v>10</v>
      </c>
      <c r="B11">
        <v>1700</v>
      </c>
      <c r="C11">
        <f t="shared" si="0"/>
        <v>1486.6666666666667</v>
      </c>
      <c r="D11">
        <f t="shared" si="1"/>
        <v>1442</v>
      </c>
      <c r="E11">
        <f t="shared" si="2"/>
        <v>1461.4285714285713</v>
      </c>
    </row>
    <row r="12" spans="1:5" x14ac:dyDescent="0.35">
      <c r="A12">
        <v>11</v>
      </c>
      <c r="B12">
        <v>1680</v>
      </c>
      <c r="C12">
        <f t="shared" si="0"/>
        <v>1610</v>
      </c>
      <c r="D12">
        <f t="shared" si="1"/>
        <v>1468</v>
      </c>
      <c r="E12">
        <f t="shared" si="2"/>
        <v>1498.5714285714287</v>
      </c>
    </row>
    <row r="13" spans="1:5" x14ac:dyDescent="0.35">
      <c r="A13">
        <v>12</v>
      </c>
      <c r="B13">
        <v>1300</v>
      </c>
      <c r="C13">
        <f t="shared" si="0"/>
        <v>1560</v>
      </c>
      <c r="D13">
        <f t="shared" si="1"/>
        <v>1488</v>
      </c>
      <c r="E13">
        <f t="shared" si="2"/>
        <v>1455.7142857142858</v>
      </c>
    </row>
    <row r="14" spans="1:5" x14ac:dyDescent="0.35">
      <c r="A14">
        <v>13</v>
      </c>
      <c r="B14">
        <v>1250</v>
      </c>
      <c r="C14">
        <f t="shared" si="0"/>
        <v>1410</v>
      </c>
      <c r="D14">
        <f t="shared" si="1"/>
        <v>1476</v>
      </c>
      <c r="E14">
        <f t="shared" si="2"/>
        <v>1412.8571428571429</v>
      </c>
    </row>
    <row r="15" spans="1:5" x14ac:dyDescent="0.35">
      <c r="A15">
        <v>14</v>
      </c>
      <c r="B15">
        <v>1400</v>
      </c>
      <c r="C15">
        <f t="shared" si="0"/>
        <v>1316.6666666666667</v>
      </c>
      <c r="D15">
        <f t="shared" si="1"/>
        <v>1466</v>
      </c>
      <c r="E15">
        <f t="shared" si="2"/>
        <v>1441.4285714285713</v>
      </c>
    </row>
    <row r="16" spans="1:5" x14ac:dyDescent="0.35">
      <c r="A16">
        <v>15</v>
      </c>
      <c r="B16">
        <v>1550</v>
      </c>
      <c r="C16">
        <f t="shared" si="0"/>
        <v>1400</v>
      </c>
      <c r="D16">
        <f t="shared" si="1"/>
        <v>1436</v>
      </c>
      <c r="E16">
        <f t="shared" si="2"/>
        <v>1475.7142857142858</v>
      </c>
    </row>
    <row r="17" spans="1:9" x14ac:dyDescent="0.35">
      <c r="A17">
        <v>16</v>
      </c>
      <c r="B17">
        <v>1600</v>
      </c>
      <c r="C17">
        <f t="shared" si="0"/>
        <v>1516.6666666666667</v>
      </c>
      <c r="D17">
        <f t="shared" si="1"/>
        <v>1420</v>
      </c>
      <c r="E17">
        <f t="shared" si="2"/>
        <v>1497.1428571428571</v>
      </c>
    </row>
    <row r="18" spans="1:9" x14ac:dyDescent="0.35">
      <c r="A18">
        <v>17</v>
      </c>
      <c r="B18">
        <v>1750</v>
      </c>
      <c r="C18">
        <f t="shared" si="0"/>
        <v>1633.3333333333333</v>
      </c>
      <c r="D18">
        <f t="shared" si="1"/>
        <v>1510</v>
      </c>
      <c r="E18">
        <f t="shared" si="2"/>
        <v>1504.2857142857142</v>
      </c>
    </row>
    <row r="19" spans="1:9" x14ac:dyDescent="0.35">
      <c r="A19">
        <v>18</v>
      </c>
      <c r="B19">
        <v>1720</v>
      </c>
      <c r="C19">
        <f t="shared" si="0"/>
        <v>1690</v>
      </c>
      <c r="D19">
        <f t="shared" si="1"/>
        <v>1604</v>
      </c>
      <c r="E19">
        <f t="shared" si="2"/>
        <v>1510</v>
      </c>
      <c r="I19" s="8" t="s">
        <v>58</v>
      </c>
    </row>
    <row r="20" spans="1:9" ht="87" x14ac:dyDescent="0.35">
      <c r="A20">
        <v>19</v>
      </c>
      <c r="B20">
        <v>1300</v>
      </c>
      <c r="C20">
        <f t="shared" si="0"/>
        <v>1590</v>
      </c>
      <c r="D20">
        <f t="shared" si="1"/>
        <v>1584</v>
      </c>
      <c r="E20">
        <f t="shared" si="2"/>
        <v>1510</v>
      </c>
      <c r="H20" s="9" t="s">
        <v>72</v>
      </c>
      <c r="I20" s="12" t="s">
        <v>73</v>
      </c>
    </row>
    <row r="21" spans="1:9" ht="72.5" x14ac:dyDescent="0.35">
      <c r="A21">
        <v>20</v>
      </c>
      <c r="B21">
        <v>1280</v>
      </c>
      <c r="C21">
        <f t="shared" si="0"/>
        <v>1433.3333333333333</v>
      </c>
      <c r="D21">
        <f t="shared" si="1"/>
        <v>1530</v>
      </c>
      <c r="E21">
        <f t="shared" si="2"/>
        <v>1514.2857142857142</v>
      </c>
      <c r="H21" s="9" t="s">
        <v>74</v>
      </c>
      <c r="I21" s="5" t="s">
        <v>76</v>
      </c>
    </row>
    <row r="22" spans="1:9" ht="101.5" x14ac:dyDescent="0.35">
      <c r="A22">
        <v>21</v>
      </c>
      <c r="B22">
        <v>1450</v>
      </c>
      <c r="C22">
        <f t="shared" si="0"/>
        <v>1343.3333333333333</v>
      </c>
      <c r="D22">
        <f t="shared" si="1"/>
        <v>1500</v>
      </c>
      <c r="E22">
        <f t="shared" si="2"/>
        <v>1521.4285714285713</v>
      </c>
      <c r="H22" s="9" t="s">
        <v>75</v>
      </c>
      <c r="I22" s="5" t="s">
        <v>77</v>
      </c>
    </row>
    <row r="23" spans="1:9" x14ac:dyDescent="0.35">
      <c r="A23">
        <v>22</v>
      </c>
      <c r="B23">
        <v>1600</v>
      </c>
      <c r="C23">
        <f t="shared" si="0"/>
        <v>1443.3333333333333</v>
      </c>
      <c r="D23">
        <f t="shared" si="1"/>
        <v>1470</v>
      </c>
      <c r="E23">
        <f t="shared" si="2"/>
        <v>1528.5714285714287</v>
      </c>
    </row>
    <row r="24" spans="1:9" x14ac:dyDescent="0.35">
      <c r="A24">
        <v>23</v>
      </c>
      <c r="B24">
        <v>1700</v>
      </c>
      <c r="C24">
        <f t="shared" si="0"/>
        <v>1583.3333333333333</v>
      </c>
      <c r="D24">
        <f t="shared" si="1"/>
        <v>1466</v>
      </c>
      <c r="E24">
        <f t="shared" si="2"/>
        <v>1542.8571428571429</v>
      </c>
    </row>
    <row r="25" spans="1:9" x14ac:dyDescent="0.35">
      <c r="A25">
        <v>24</v>
      </c>
      <c r="B25">
        <v>1680</v>
      </c>
      <c r="C25">
        <f t="shared" si="0"/>
        <v>1660</v>
      </c>
      <c r="D25">
        <f t="shared" si="1"/>
        <v>1542</v>
      </c>
      <c r="E25">
        <f t="shared" si="2"/>
        <v>1532.8571428571429</v>
      </c>
    </row>
    <row r="26" spans="1:9" x14ac:dyDescent="0.35">
      <c r="A26">
        <v>25</v>
      </c>
      <c r="B26">
        <v>1250</v>
      </c>
      <c r="C26">
        <f t="shared" si="0"/>
        <v>1543.3333333333333</v>
      </c>
      <c r="D26">
        <f t="shared" si="1"/>
        <v>1536</v>
      </c>
      <c r="E26">
        <f t="shared" si="2"/>
        <v>1465.7142857142858</v>
      </c>
    </row>
    <row r="27" spans="1:9" x14ac:dyDescent="0.35">
      <c r="A27">
        <v>26</v>
      </c>
      <c r="B27">
        <v>1300</v>
      </c>
      <c r="C27">
        <f t="shared" si="0"/>
        <v>1410</v>
      </c>
      <c r="D27">
        <f t="shared" si="1"/>
        <v>1506</v>
      </c>
      <c r="E27">
        <f t="shared" si="2"/>
        <v>1465.7142857142858</v>
      </c>
    </row>
    <row r="28" spans="1:9" x14ac:dyDescent="0.35">
      <c r="A28">
        <v>27</v>
      </c>
      <c r="B28">
        <v>1420</v>
      </c>
      <c r="C28">
        <f t="shared" si="0"/>
        <v>1323.3333333333333</v>
      </c>
      <c r="D28">
        <f t="shared" si="1"/>
        <v>1470</v>
      </c>
      <c r="E28">
        <f t="shared" si="2"/>
        <v>1485.7142857142858</v>
      </c>
    </row>
    <row r="29" spans="1:9" x14ac:dyDescent="0.35">
      <c r="A29">
        <v>28</v>
      </c>
      <c r="B29">
        <v>1550</v>
      </c>
      <c r="C29">
        <f t="shared" si="0"/>
        <v>1423.3333333333333</v>
      </c>
      <c r="D29">
        <f t="shared" si="1"/>
        <v>1440</v>
      </c>
      <c r="E29">
        <f t="shared" si="2"/>
        <v>1500</v>
      </c>
    </row>
    <row r="30" spans="1:9" x14ac:dyDescent="0.35">
      <c r="A30">
        <v>29</v>
      </c>
      <c r="B30">
        <v>1720</v>
      </c>
      <c r="C30">
        <f t="shared" si="0"/>
        <v>1563.3333333333333</v>
      </c>
      <c r="D30">
        <f t="shared" si="1"/>
        <v>1448</v>
      </c>
      <c r="E30">
        <f t="shared" si="2"/>
        <v>1517.1428571428571</v>
      </c>
    </row>
    <row r="31" spans="1:9" x14ac:dyDescent="0.35">
      <c r="A31">
        <v>30</v>
      </c>
      <c r="B31">
        <v>1800</v>
      </c>
      <c r="C31">
        <f t="shared" si="0"/>
        <v>1690</v>
      </c>
      <c r="D31">
        <f t="shared" si="1"/>
        <v>1558</v>
      </c>
      <c r="E31">
        <f t="shared" si="2"/>
        <v>1531.4285714285713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6F67-FDDD-4334-930D-FC79D170FDBB}">
  <dimension ref="A1:J31"/>
  <sheetViews>
    <sheetView tabSelected="1" workbookViewId="0">
      <selection activeCell="E29" sqref="E29"/>
    </sheetView>
  </sheetViews>
  <sheetFormatPr defaultRowHeight="14.5" x14ac:dyDescent="0.35"/>
  <cols>
    <col min="1" max="1" width="9" bestFit="1" customWidth="1"/>
    <col min="2" max="2" width="7.54296875" bestFit="1" customWidth="1"/>
    <col min="3" max="3" width="16.6328125" bestFit="1" customWidth="1"/>
    <col min="4" max="4" width="17.26953125" bestFit="1" customWidth="1"/>
    <col min="5" max="5" width="13.08984375" bestFit="1" customWidth="1"/>
    <col min="6" max="6" width="10.90625" bestFit="1" customWidth="1"/>
    <col min="9" max="9" width="16.81640625" bestFit="1" customWidth="1"/>
    <col min="10" max="10" width="12.453125" bestFit="1" customWidth="1"/>
  </cols>
  <sheetData>
    <row r="1" spans="1:10" x14ac:dyDescent="0.3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I1" s="15" t="s">
        <v>125</v>
      </c>
      <c r="J1" s="15"/>
    </row>
    <row r="2" spans="1:10" x14ac:dyDescent="0.35">
      <c r="A2">
        <v>1</v>
      </c>
      <c r="B2" t="s">
        <v>84</v>
      </c>
      <c r="C2">
        <v>78</v>
      </c>
      <c r="D2">
        <v>5</v>
      </c>
      <c r="E2">
        <v>24</v>
      </c>
      <c r="F2" t="s">
        <v>85</v>
      </c>
      <c r="I2" s="13"/>
      <c r="J2" s="13"/>
    </row>
    <row r="3" spans="1:10" x14ac:dyDescent="0.35">
      <c r="A3">
        <v>2</v>
      </c>
      <c r="B3" t="s">
        <v>86</v>
      </c>
      <c r="C3">
        <v>85</v>
      </c>
      <c r="D3">
        <v>7</v>
      </c>
      <c r="E3">
        <v>30</v>
      </c>
      <c r="F3" t="s">
        <v>87</v>
      </c>
      <c r="I3" s="13" t="s">
        <v>113</v>
      </c>
      <c r="J3" s="13">
        <v>80.48</v>
      </c>
    </row>
    <row r="4" spans="1:10" x14ac:dyDescent="0.35">
      <c r="A4">
        <v>3</v>
      </c>
      <c r="B4" t="s">
        <v>88</v>
      </c>
      <c r="C4">
        <v>92</v>
      </c>
      <c r="D4">
        <v>10</v>
      </c>
      <c r="E4">
        <v>40</v>
      </c>
      <c r="F4" t="s">
        <v>89</v>
      </c>
      <c r="I4" s="13" t="s">
        <v>31</v>
      </c>
      <c r="J4" s="13">
        <v>1.8102670152954374</v>
      </c>
    </row>
    <row r="5" spans="1:10" x14ac:dyDescent="0.35">
      <c r="A5">
        <v>4</v>
      </c>
      <c r="B5" t="s">
        <v>90</v>
      </c>
      <c r="C5">
        <v>67</v>
      </c>
      <c r="D5">
        <v>3</v>
      </c>
      <c r="E5">
        <v>18</v>
      </c>
      <c r="F5" t="s">
        <v>91</v>
      </c>
      <c r="I5" s="13" t="s">
        <v>114</v>
      </c>
      <c r="J5" s="13">
        <v>81</v>
      </c>
    </row>
    <row r="6" spans="1:10" x14ac:dyDescent="0.35">
      <c r="A6">
        <v>5</v>
      </c>
      <c r="B6" t="s">
        <v>92</v>
      </c>
      <c r="C6">
        <v>74</v>
      </c>
      <c r="D6">
        <v>4</v>
      </c>
      <c r="E6">
        <v>20</v>
      </c>
      <c r="F6" t="s">
        <v>85</v>
      </c>
      <c r="I6" s="13" t="s">
        <v>115</v>
      </c>
      <c r="J6" s="13" t="e">
        <v>#N/A</v>
      </c>
    </row>
    <row r="7" spans="1:10" x14ac:dyDescent="0.35">
      <c r="A7">
        <v>6</v>
      </c>
      <c r="B7" t="s">
        <v>93</v>
      </c>
      <c r="C7">
        <v>88</v>
      </c>
      <c r="D7">
        <v>8</v>
      </c>
      <c r="E7">
        <v>35</v>
      </c>
      <c r="F7" t="s">
        <v>87</v>
      </c>
      <c r="I7" s="13" t="s">
        <v>116</v>
      </c>
      <c r="J7" s="13">
        <v>9.0513350764771907</v>
      </c>
    </row>
    <row r="8" spans="1:10" x14ac:dyDescent="0.35">
      <c r="A8">
        <v>7</v>
      </c>
      <c r="B8" t="s">
        <v>94</v>
      </c>
      <c r="C8">
        <v>81</v>
      </c>
      <c r="D8">
        <v>6</v>
      </c>
      <c r="E8">
        <v>28</v>
      </c>
      <c r="F8" t="s">
        <v>89</v>
      </c>
      <c r="I8" s="13" t="s">
        <v>117</v>
      </c>
      <c r="J8" s="13">
        <v>81.926666666666279</v>
      </c>
    </row>
    <row r="9" spans="1:10" x14ac:dyDescent="0.35">
      <c r="A9">
        <v>8</v>
      </c>
      <c r="B9" t="s">
        <v>95</v>
      </c>
      <c r="C9">
        <v>69</v>
      </c>
      <c r="D9">
        <v>2</v>
      </c>
      <c r="E9">
        <v>15</v>
      </c>
      <c r="F9" t="s">
        <v>91</v>
      </c>
      <c r="I9" s="13" t="s">
        <v>118</v>
      </c>
      <c r="J9" s="13">
        <v>-1.2327594215570232</v>
      </c>
    </row>
    <row r="10" spans="1:10" x14ac:dyDescent="0.35">
      <c r="A10">
        <v>9</v>
      </c>
      <c r="B10" t="s">
        <v>96</v>
      </c>
      <c r="C10">
        <v>95</v>
      </c>
      <c r="D10">
        <v>12</v>
      </c>
      <c r="E10">
        <v>45</v>
      </c>
      <c r="F10" t="s">
        <v>85</v>
      </c>
      <c r="I10" s="13" t="s">
        <v>119</v>
      </c>
      <c r="J10" s="13">
        <v>-0.12252550238799585</v>
      </c>
    </row>
    <row r="11" spans="1:10" x14ac:dyDescent="0.35">
      <c r="A11">
        <v>10</v>
      </c>
      <c r="B11" t="s">
        <v>97</v>
      </c>
      <c r="C11">
        <v>72</v>
      </c>
      <c r="D11">
        <v>4</v>
      </c>
      <c r="E11">
        <v>22</v>
      </c>
      <c r="F11" t="s">
        <v>87</v>
      </c>
      <c r="I11" s="13" t="s">
        <v>120</v>
      </c>
      <c r="J11" s="13">
        <v>30</v>
      </c>
    </row>
    <row r="12" spans="1:10" x14ac:dyDescent="0.35">
      <c r="A12">
        <v>11</v>
      </c>
      <c r="B12" t="s">
        <v>98</v>
      </c>
      <c r="C12">
        <v>84</v>
      </c>
      <c r="D12">
        <v>7</v>
      </c>
      <c r="E12">
        <v>32</v>
      </c>
      <c r="F12" t="s">
        <v>89</v>
      </c>
      <c r="I12" s="13" t="s">
        <v>121</v>
      </c>
      <c r="J12" s="13">
        <v>65</v>
      </c>
    </row>
    <row r="13" spans="1:10" x14ac:dyDescent="0.35">
      <c r="A13">
        <v>12</v>
      </c>
      <c r="B13" t="s">
        <v>99</v>
      </c>
      <c r="C13">
        <v>77</v>
      </c>
      <c r="D13">
        <v>5</v>
      </c>
      <c r="E13">
        <v>25</v>
      </c>
      <c r="F13" t="s">
        <v>91</v>
      </c>
      <c r="I13" s="13" t="s">
        <v>122</v>
      </c>
      <c r="J13" s="13">
        <v>95</v>
      </c>
    </row>
    <row r="14" spans="1:10" x14ac:dyDescent="0.35">
      <c r="A14">
        <v>13</v>
      </c>
      <c r="B14" t="s">
        <v>100</v>
      </c>
      <c r="C14">
        <v>90</v>
      </c>
      <c r="D14">
        <v>9</v>
      </c>
      <c r="E14">
        <v>38</v>
      </c>
      <c r="F14" t="s">
        <v>85</v>
      </c>
      <c r="I14" s="13" t="s">
        <v>123</v>
      </c>
      <c r="J14" s="13">
        <v>2012</v>
      </c>
    </row>
    <row r="15" spans="1:10" ht="15" thickBot="1" x14ac:dyDescent="0.4">
      <c r="A15">
        <v>14</v>
      </c>
      <c r="B15" t="s">
        <v>101</v>
      </c>
      <c r="C15">
        <v>65</v>
      </c>
      <c r="D15">
        <v>2</v>
      </c>
      <c r="E15">
        <v>14</v>
      </c>
      <c r="F15" t="s">
        <v>87</v>
      </c>
      <c r="I15" s="14" t="s">
        <v>124</v>
      </c>
      <c r="J15" s="14">
        <v>25</v>
      </c>
    </row>
    <row r="16" spans="1:10" x14ac:dyDescent="0.35">
      <c r="A16">
        <v>15</v>
      </c>
      <c r="B16" t="s">
        <v>102</v>
      </c>
      <c r="C16">
        <v>80</v>
      </c>
      <c r="D16">
        <v>6</v>
      </c>
      <c r="E16">
        <v>27</v>
      </c>
      <c r="F16" t="s">
        <v>89</v>
      </c>
    </row>
    <row r="17" spans="1:6" x14ac:dyDescent="0.35">
      <c r="A17">
        <v>16</v>
      </c>
      <c r="B17" t="s">
        <v>103</v>
      </c>
      <c r="C17">
        <v>73</v>
      </c>
      <c r="D17">
        <v>4</v>
      </c>
      <c r="E17">
        <v>21</v>
      </c>
      <c r="F17" t="s">
        <v>91</v>
      </c>
    </row>
    <row r="18" spans="1:6" x14ac:dyDescent="0.35">
      <c r="A18">
        <v>17</v>
      </c>
      <c r="B18" t="s">
        <v>104</v>
      </c>
      <c r="C18">
        <v>87</v>
      </c>
      <c r="D18">
        <v>8</v>
      </c>
      <c r="E18">
        <v>34</v>
      </c>
      <c r="F18" t="s">
        <v>85</v>
      </c>
    </row>
    <row r="19" spans="1:6" x14ac:dyDescent="0.35">
      <c r="A19">
        <v>18</v>
      </c>
      <c r="B19" t="s">
        <v>105</v>
      </c>
      <c r="C19">
        <v>91</v>
      </c>
      <c r="D19">
        <v>10</v>
      </c>
      <c r="E19">
        <v>39</v>
      </c>
      <c r="F19" t="s">
        <v>87</v>
      </c>
    </row>
    <row r="20" spans="1:6" x14ac:dyDescent="0.35">
      <c r="A20">
        <v>19</v>
      </c>
      <c r="B20" t="s">
        <v>106</v>
      </c>
      <c r="C20">
        <v>76</v>
      </c>
      <c r="D20">
        <v>5</v>
      </c>
      <c r="E20">
        <v>23</v>
      </c>
      <c r="F20" t="s">
        <v>89</v>
      </c>
    </row>
    <row r="21" spans="1:6" x14ac:dyDescent="0.35">
      <c r="A21">
        <v>20</v>
      </c>
      <c r="B21" t="s">
        <v>107</v>
      </c>
      <c r="C21">
        <v>70</v>
      </c>
      <c r="D21">
        <v>3</v>
      </c>
      <c r="E21">
        <v>19</v>
      </c>
      <c r="F21" t="s">
        <v>91</v>
      </c>
    </row>
    <row r="22" spans="1:6" x14ac:dyDescent="0.35">
      <c r="A22">
        <v>21</v>
      </c>
      <c r="B22" t="s">
        <v>108</v>
      </c>
      <c r="C22">
        <v>82</v>
      </c>
      <c r="D22">
        <v>6</v>
      </c>
      <c r="E22">
        <v>29</v>
      </c>
      <c r="F22" t="s">
        <v>85</v>
      </c>
    </row>
    <row r="23" spans="1:6" x14ac:dyDescent="0.35">
      <c r="A23">
        <v>22</v>
      </c>
      <c r="B23" t="s">
        <v>109</v>
      </c>
      <c r="C23">
        <v>89</v>
      </c>
      <c r="D23">
        <v>9</v>
      </c>
      <c r="E23">
        <v>36</v>
      </c>
      <c r="F23" t="s">
        <v>87</v>
      </c>
    </row>
    <row r="24" spans="1:6" x14ac:dyDescent="0.35">
      <c r="A24">
        <v>23</v>
      </c>
      <c r="B24" t="s">
        <v>110</v>
      </c>
      <c r="C24">
        <v>93</v>
      </c>
      <c r="D24">
        <v>11</v>
      </c>
      <c r="E24">
        <v>42</v>
      </c>
      <c r="F24" t="s">
        <v>89</v>
      </c>
    </row>
    <row r="25" spans="1:6" x14ac:dyDescent="0.35">
      <c r="A25">
        <v>24</v>
      </c>
      <c r="B25" t="s">
        <v>111</v>
      </c>
      <c r="C25">
        <v>68</v>
      </c>
      <c r="D25">
        <v>2</v>
      </c>
      <c r="E25">
        <v>16</v>
      </c>
      <c r="F25" t="s">
        <v>91</v>
      </c>
    </row>
    <row r="26" spans="1:6" x14ac:dyDescent="0.35">
      <c r="A26">
        <v>25</v>
      </c>
      <c r="B26" t="s">
        <v>112</v>
      </c>
      <c r="C26">
        <v>86</v>
      </c>
      <c r="D26">
        <v>8</v>
      </c>
      <c r="E26">
        <v>33</v>
      </c>
      <c r="F26" t="s">
        <v>85</v>
      </c>
    </row>
    <row r="28" spans="1:6" x14ac:dyDescent="0.35">
      <c r="D28" s="8" t="s">
        <v>58</v>
      </c>
    </row>
    <row r="29" spans="1:6" ht="87" x14ac:dyDescent="0.35">
      <c r="C29" s="9" t="s">
        <v>126</v>
      </c>
      <c r="D29" s="5" t="s">
        <v>127</v>
      </c>
    </row>
    <row r="30" spans="1:6" ht="72.5" x14ac:dyDescent="0.35">
      <c r="C30" s="9" t="s">
        <v>128</v>
      </c>
      <c r="D30" s="5" t="s">
        <v>129</v>
      </c>
    </row>
    <row r="31" spans="1:6" ht="72.5" x14ac:dyDescent="0.35">
      <c r="C31" s="9" t="s">
        <v>130</v>
      </c>
      <c r="D31" s="1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Correlation</vt:lpstr>
      <vt:lpstr>Regression</vt:lpstr>
      <vt:lpstr>CoVariance</vt:lpstr>
      <vt:lpstr>Moving Average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Firoz khan Pathan</dc:creator>
  <cp:lastModifiedBy>Firoz khan Pathan</cp:lastModifiedBy>
  <dcterms:created xsi:type="dcterms:W3CDTF">2026-03-05T16:12:37Z</dcterms:created>
  <dcterms:modified xsi:type="dcterms:W3CDTF">2026-03-06T15:03:04Z</dcterms:modified>
</cp:coreProperties>
</file>